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VBA-Excel-Eliquid\"/>
    </mc:Choice>
  </mc:AlternateContent>
  <xr:revisionPtr revIDLastSave="0" documentId="13_ncr:1_{2A3CF3C1-B3A5-49D1-8052-D92397A04D89}" xr6:coauthVersionLast="47" xr6:coauthVersionMax="47" xr10:uidLastSave="{00000000-0000-0000-0000-000000000000}"/>
  <bookViews>
    <workbookView xWindow="-108" yWindow="-108" windowWidth="23256" windowHeight="12576" activeTab="2" xr2:uid="{7C77C5DE-826D-4523-B133-49B7C7E1932D}"/>
  </bookViews>
  <sheets>
    <sheet name="Liquid Calculator" sheetId="18" r:id="rId1"/>
    <sheet name="Ingredients Info" sheetId="2" state="hidden" r:id="rId2"/>
    <sheet name="Liquid history" sheetId="10" r:id="rId3"/>
    <sheet name="Flavors" sheetId="11" r:id="rId4"/>
  </sheets>
  <functionGroups builtInGroupCount="19"/>
  <definedNames>
    <definedName name="_xlnm._FilterDatabase" localSheetId="2" hidden="1">'Liquid history'!$B$2:$G$2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0" l="1"/>
  <c r="F20" i="18"/>
  <c r="C20" i="18"/>
  <c r="D20" i="18" s="1"/>
  <c r="D24" i="18" s="1"/>
  <c r="F19" i="18"/>
  <c r="C19" i="18"/>
  <c r="D19" i="18" s="1"/>
  <c r="C27" i="18"/>
  <c r="C23" i="18"/>
  <c r="D23" i="18" s="1"/>
  <c r="B23" i="18"/>
  <c r="F23" i="18" s="1"/>
  <c r="C22" i="18"/>
  <c r="D22" i="18" s="1"/>
  <c r="B22" i="18"/>
  <c r="F22" i="18" s="1"/>
  <c r="B3" i="11"/>
  <c r="A3" i="11"/>
  <c r="B2" i="11"/>
  <c r="A2" i="11"/>
  <c r="C21" i="18"/>
  <c r="F21" i="18" s="1"/>
  <c r="F24" i="18" l="1"/>
  <c r="C25" i="18"/>
  <c r="C24" i="18"/>
  <c r="E20" i="18" s="1"/>
  <c r="D21" i="18"/>
  <c r="F11" i="2"/>
  <c r="F10" i="2"/>
  <c r="F9" i="2"/>
  <c r="F8" i="2"/>
  <c r="A1" i="11"/>
  <c r="E23" i="18" l="1"/>
  <c r="E19" i="18"/>
  <c r="C26" i="18"/>
  <c r="E22" i="18" l="1"/>
  <c r="E21" i="18"/>
  <c r="E24" i="18" s="1"/>
</calcChain>
</file>

<file path=xl/sharedStrings.xml><?xml version="1.0" encoding="utf-8"?>
<sst xmlns="http://schemas.openxmlformats.org/spreadsheetml/2006/main" count="77" uniqueCount="59">
  <si>
    <t>Base</t>
  </si>
  <si>
    <t>VG</t>
  </si>
  <si>
    <t>PG</t>
  </si>
  <si>
    <t>mg/ml</t>
  </si>
  <si>
    <t>Weight g/ml</t>
  </si>
  <si>
    <t>Pure Nicotine</t>
  </si>
  <si>
    <t>Ingredient</t>
  </si>
  <si>
    <t>VG %</t>
  </si>
  <si>
    <t>PG %</t>
  </si>
  <si>
    <t>%</t>
  </si>
  <si>
    <t>Price</t>
  </si>
  <si>
    <t>Cost</t>
  </si>
  <si>
    <t>Price/ml</t>
  </si>
  <si>
    <t>Description</t>
  </si>
  <si>
    <t>INGREDIENTS' STATS</t>
  </si>
  <si>
    <t>Grams</t>
  </si>
  <si>
    <t>REQUIRED QUANTITIES</t>
  </si>
  <si>
    <t>Final amount</t>
  </si>
  <si>
    <t>Nicotine strength</t>
  </si>
  <si>
    <t>Mililiters</t>
  </si>
  <si>
    <t>DESIRED E-LIQUID STATS</t>
  </si>
  <si>
    <t>TOTAL</t>
  </si>
  <si>
    <t>Flavor name</t>
  </si>
  <si>
    <t>Company</t>
  </si>
  <si>
    <t>Size (ml)</t>
  </si>
  <si>
    <t>Price per ml</t>
  </si>
  <si>
    <t>Nicotine Base</t>
  </si>
  <si>
    <t>Quantity</t>
  </si>
  <si>
    <t>vgPercentageResult</t>
  </si>
  <si>
    <t>pgPercentageResult</t>
  </si>
  <si>
    <t>Total flavor %</t>
  </si>
  <si>
    <t>totalFlavorPercentageResult</t>
  </si>
  <si>
    <t>recipeTotalsResult</t>
  </si>
  <si>
    <t>nicBaseResult</t>
  </si>
  <si>
    <t>Nr. #</t>
  </si>
  <si>
    <t>Steep time</t>
  </si>
  <si>
    <t>Rating</t>
  </si>
  <si>
    <t>Notes</t>
  </si>
  <si>
    <t>Actions</t>
  </si>
  <si>
    <t>E-Potion</t>
  </si>
  <si>
    <t>SteamOk 70VG/30PG 20mg</t>
  </si>
  <si>
    <t>E-Potion 70VG/30PG</t>
  </si>
  <si>
    <t>SteamOk</t>
  </si>
  <si>
    <t>NY Cheesecake</t>
  </si>
  <si>
    <t>CAP</t>
  </si>
  <si>
    <t>Super Sweet</t>
  </si>
  <si>
    <t>flavorInput</t>
  </si>
  <si>
    <t>flavorResult</t>
  </si>
  <si>
    <t>NY Cheesecake - CAP</t>
  </si>
  <si>
    <t>Super Sweet - CAP</t>
  </si>
  <si>
    <t>Final VG %</t>
  </si>
  <si>
    <t>Final PG %</t>
  </si>
  <si>
    <t>vgResult</t>
  </si>
  <si>
    <t>pgResult</t>
  </si>
  <si>
    <t>No Rating Yet</t>
  </si>
  <si>
    <t>No Notes Yet</t>
  </si>
  <si>
    <t>{"flavors":[{"flavorName":"NY Cheesecake - CAP","percentage":0.04},{"flavorName":"Super Sweet - CAP","percentage":0.0075}],"amount":100,"nicotine":3,"finalVg":0.7,"finalPg":0.3,"dateOfMaking":"07/01/2024  21:59:55","price":38.6225,"startDate":"","finishDate":""}</t>
  </si>
  <si>
    <r>
      <t xml:space="preserve">Amount: 100ml_x000D_
Nicotine: 3mg_x000D_
Flavors: </t>
    </r>
    <r>
      <rPr>
        <i/>
        <sz val="11"/>
        <color rgb="FFFFFFFF"/>
        <rFont val="Calibri"/>
        <family val="2"/>
        <scheme val="minor"/>
      </rPr>
      <t xml:space="preserve">_x000D_
      - NY Cheesecake - CAP @ 4%_x000D_
      - Super Sweet - CAP @ 0.75%_x000D_
      </t>
    </r>
    <r>
      <rPr>
        <i/>
        <u/>
        <sz val="11"/>
        <color rgb="FFFFFFFF"/>
        <rFont val="Calibri"/>
        <family val="2"/>
        <scheme val="minor"/>
      </rPr>
      <t>TOTAL:</t>
    </r>
    <r>
      <rPr>
        <i/>
        <sz val="11"/>
        <color rgb="FFFFFFFF"/>
        <rFont val="Calibri"/>
        <family val="2"/>
        <scheme val="minor"/>
      </rPr>
      <t xml:space="preserve"> 4.75%_x000D_
_x000D_
</t>
    </r>
    <r>
      <rPr>
        <b/>
        <i/>
        <sz val="11"/>
        <color rgb="FFFFFFFF"/>
        <rFont val="Calibri"/>
        <family val="2"/>
        <scheme val="minor"/>
      </rPr>
      <t>VG: 70% | PG: 30%_x000D_
Price: 38.6 $_x000D_
Date of making: 07/01/2024 || 21:59</t>
    </r>
  </si>
  <si>
    <t>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</si>
</sst>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(* #,##0.00_);_(* \(#,##0.00\);_(* &quot;-&quot;??_);_(@_)"/>
    <numFmt numFmtId="165" formatCode="0\ &quot;ml&quot;"/>
    <numFmt numFmtId="166" formatCode="0\ &quot;mg&quot;"/>
    <numFmt numFmtId="167" formatCode="0.0\ &quot;RON&quot;"/>
    <numFmt numFmtId="168" formatCode="0.0%"/>
    <numFmt numFmtId="169" formatCode="m/d/yy\ h:mm;@"/>
    <numFmt numFmtId="170" formatCode="_-* #,##0_-;\-* #,##0_-;_-* &quot;-&quot;??_-;_-@_-"/>
    <numFmt numFmtId="171" formatCode="0.00\ &quot;mg&quot;"/>
    <numFmt numFmtId="172" formatCode="0.000"/>
    <numFmt numFmtId="173" formatCode="_(* #,##0.000_);_(* \(#,##0.000\);_(* &quot;-&quot;??_);_(@_)"/>
    <numFmt numFmtId="174" formatCode="dd/mm/yyyy\ \|\|\ hh:mm"/>
    <numFmt numFmtId="175" formatCode="0.00\ &quot;$&quot;"/>
    <numFmt numFmtId="176" formatCode="0\ &quot;$&quot;"/>
    <numFmt numFmtId="177" formatCode="0.00\ &quot; ml&quot;"/>
    <numFmt numFmtId="178" formatCode="0\ %"/>
    <numFmt numFmtId="179" formatCode="0.00\ &quot; $&quot;"/>
    <numFmt numFmtId="180" formatCode="0\ &quot; ml&quot;"/>
    <numFmt numFmtId="181" formatCode="0.00\ &quot; g&quot;"/>
    <numFmt numFmtId="182" formatCode="0.0\ &quot; $&quot;"/>
    <numFmt numFmtId="183" formatCode="0.00\ &quot;g&quot;"/>
    <numFmt numFmtId="184" formatCode="0.0\ %"/>
    <numFmt numFmtId="185" formatCode="0.00\ 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30"/>
      <color rgb="FF00FF00"/>
      <name val="Calibri"/>
      <family val="2"/>
    </font>
    <font>
      <sz val="11"/>
      <color rgb="FF404040"/>
      <name val="Calibri"/>
      <family val="2"/>
      <scheme val="minor"/>
    </font>
    <font>
      <b/>
      <i/>
      <sz val="16"/>
      <color rgb="FF000000"/>
      <name val="Aptos Display"/>
      <family val="2"/>
    </font>
    <font>
      <sz val="11"/>
      <color rgb="FFFFFFFF"/>
      <name val="Calibri"/>
      <family val="2"/>
      <scheme val="minor"/>
    </font>
    <font>
      <b/>
      <sz val="11"/>
      <color indexed="10"/>
      <name val="Calibri"/>
      <family val="2"/>
      <scheme val="minor"/>
    </font>
    <font>
      <i/>
      <sz val="11"/>
      <color rgb="FFFFFFFF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u/>
      <sz val="11"/>
      <color rgb="FFFFFFFF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1"/>
      <color indexed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400C1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hair">
        <color rgb="FFFFFFFF"/>
      </left>
      <right style="hair">
        <color rgb="FFFFFFFF"/>
      </right>
      <top style="hair">
        <color rgb="FFFFFFFF"/>
      </top>
      <bottom style="hair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2" fillId="3" borderId="5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6" fillId="8" borderId="0" xfId="0" applyFont="1" applyFill="1"/>
    <xf numFmtId="0" fontId="0" fillId="8" borderId="0" xfId="0" applyFill="1"/>
    <xf numFmtId="0" fontId="2" fillId="8" borderId="0" xfId="0" applyFont="1" applyFill="1"/>
    <xf numFmtId="9" fontId="0" fillId="8" borderId="0" xfId="2" applyFont="1" applyFill="1"/>
    <xf numFmtId="164" fontId="0" fillId="8" borderId="0" xfId="1" applyFont="1" applyFill="1"/>
    <xf numFmtId="0" fontId="2" fillId="8" borderId="0" xfId="0" applyFont="1" applyFill="1" applyAlignment="1">
      <alignment horizontal="center" vertical="center"/>
    </xf>
    <xf numFmtId="171" fontId="0" fillId="8" borderId="0" xfId="0" applyNumberFormat="1" applyFill="1" applyAlignment="1">
      <alignment horizontal="center" vertical="center"/>
    </xf>
    <xf numFmtId="173" fontId="0" fillId="8" borderId="0" xfId="1" applyNumberFormat="1" applyFont="1" applyFill="1"/>
    <xf numFmtId="172" fontId="0" fillId="8" borderId="0" xfId="1" applyNumberFormat="1" applyFont="1" applyFill="1"/>
    <xf numFmtId="0" fontId="0" fillId="8" borderId="0" xfId="0" quotePrefix="1" applyFill="1"/>
    <xf numFmtId="165" fontId="0" fillId="8" borderId="0" xfId="0" applyNumberFormat="1" applyFill="1" applyAlignment="1">
      <alignment horizontal="center" vertical="center"/>
    </xf>
    <xf numFmtId="16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9" fontId="0" fillId="4" borderId="18" xfId="2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9" fontId="0" fillId="4" borderId="20" xfId="2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9" fontId="0" fillId="3" borderId="20" xfId="2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166" fontId="0" fillId="3" borderId="22" xfId="0" applyNumberForma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65" fontId="3" fillId="6" borderId="9" xfId="0" applyNumberFormat="1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71" fontId="0" fillId="3" borderId="29" xfId="0" applyNumberForma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9" fontId="2" fillId="8" borderId="0" xfId="2" applyFont="1" applyFill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10" fontId="2" fillId="9" borderId="6" xfId="2" applyNumberFormat="1" applyFont="1" applyFill="1" applyBorder="1" applyAlignment="1">
      <alignment horizontal="center" vertical="center"/>
    </xf>
    <xf numFmtId="177" fontId="0" fillId="3" borderId="25" xfId="1" applyNumberFormat="1" applyFont="1" applyFill="1" applyBorder="1" applyAlignment="1">
      <alignment horizontal="center" vertical="center"/>
    </xf>
    <xf numFmtId="179" fontId="0" fillId="3" borderId="8" xfId="1" applyNumberFormat="1" applyFont="1" applyFill="1" applyBorder="1" applyAlignment="1">
      <alignment horizontal="center" vertical="center"/>
    </xf>
    <xf numFmtId="172" fontId="0" fillId="8" borderId="0" xfId="0" applyNumberFormat="1" applyFill="1"/>
    <xf numFmtId="2" fontId="0" fillId="8" borderId="0" xfId="0" applyNumberFormat="1" applyFill="1"/>
    <xf numFmtId="178" fontId="2" fillId="10" borderId="32" xfId="2" applyNumberFormat="1" applyFont="1" applyFill="1" applyBorder="1" applyAlignment="1">
      <alignment horizontal="center" vertical="center"/>
    </xf>
    <xf numFmtId="180" fontId="2" fillId="10" borderId="32" xfId="1" applyNumberFormat="1" applyFont="1" applyFill="1" applyBorder="1" applyAlignment="1">
      <alignment horizontal="center" vertical="center"/>
    </xf>
    <xf numFmtId="181" fontId="2" fillId="10" borderId="32" xfId="0" applyNumberFormat="1" applyFont="1" applyFill="1" applyBorder="1" applyAlignment="1">
      <alignment horizontal="center" vertical="center"/>
    </xf>
    <xf numFmtId="182" fontId="2" fillId="10" borderId="32" xfId="1" applyNumberFormat="1" applyFont="1" applyFill="1" applyBorder="1" applyAlignment="1">
      <alignment horizontal="center" vertical="center"/>
    </xf>
    <xf numFmtId="0" fontId="5" fillId="4" borderId="38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176" fontId="0" fillId="4" borderId="1" xfId="1" applyNumberFormat="1" applyFont="1" applyFill="1" applyBorder="1" applyAlignment="1">
      <alignment horizontal="center" vertical="center"/>
    </xf>
    <xf numFmtId="175" fontId="0" fillId="4" borderId="8" xfId="1" applyNumberFormat="1" applyFont="1" applyFill="1" applyBorder="1" applyAlignment="1">
      <alignment horizontal="center" vertical="center"/>
    </xf>
    <xf numFmtId="176" fontId="0" fillId="3" borderId="40" xfId="1" applyNumberFormat="1" applyFont="1" applyFill="1" applyBorder="1" applyAlignment="1">
      <alignment horizontal="center" vertical="center"/>
    </xf>
    <xf numFmtId="175" fontId="0" fillId="3" borderId="34" xfId="1" applyNumberFormat="1" applyFont="1" applyFill="1" applyBorder="1" applyAlignment="1">
      <alignment horizontal="center" vertical="center"/>
    </xf>
    <xf numFmtId="0" fontId="0" fillId="4" borderId="42" xfId="0" applyFill="1" applyBorder="1"/>
    <xf numFmtId="0" fontId="0" fillId="3" borderId="43" xfId="0" applyFill="1" applyBorder="1"/>
    <xf numFmtId="0" fontId="0" fillId="4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65" fontId="0" fillId="4" borderId="1" xfId="1" applyNumberFormat="1" applyFont="1" applyFill="1" applyBorder="1" applyAlignment="1">
      <alignment horizontal="center" vertical="center"/>
    </xf>
    <xf numFmtId="165" fontId="0" fillId="3" borderId="40" xfId="1" applyNumberFormat="1" applyFont="1" applyFill="1" applyBorder="1" applyAlignment="1">
      <alignment horizontal="center" vertical="center"/>
    </xf>
    <xf numFmtId="0" fontId="3" fillId="13" borderId="37" xfId="0" applyFont="1" applyFill="1" applyBorder="1" applyAlignment="1">
      <alignment horizontal="center" vertical="center"/>
    </xf>
    <xf numFmtId="0" fontId="3" fillId="13" borderId="41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33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170" fontId="2" fillId="8" borderId="0" xfId="1" applyNumberFormat="1" applyFont="1" applyFill="1" applyBorder="1" applyAlignment="1">
      <alignment horizontal="center" vertical="center" wrapText="1"/>
    </xf>
    <xf numFmtId="174" fontId="0" fillId="8" borderId="0" xfId="0" applyNumberFormat="1" applyFill="1"/>
    <xf numFmtId="170" fontId="0" fillId="8" borderId="0" xfId="1" applyNumberFormat="1" applyFont="1" applyFill="1" applyBorder="1"/>
    <xf numFmtId="0" fontId="3" fillId="14" borderId="44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0" applyFont="1" applyFill="1"/>
    <xf numFmtId="0" fontId="13" fillId="8" borderId="0" xfId="0" applyFont="1" applyFill="1" applyAlignment="1">
      <alignment horizontal="center" vertical="center"/>
    </xf>
    <xf numFmtId="167" fontId="12" fillId="8" borderId="0" xfId="0" applyNumberFormat="1" applyFont="1" applyFill="1" applyAlignment="1">
      <alignment horizontal="center" vertical="center"/>
    </xf>
    <xf numFmtId="168" fontId="12" fillId="8" borderId="0" xfId="2" applyNumberFormat="1" applyFont="1" applyFill="1" applyBorder="1" applyAlignment="1">
      <alignment horizontal="center" vertical="center"/>
    </xf>
    <xf numFmtId="183" fontId="5" fillId="4" borderId="35" xfId="0" applyNumberFormat="1" applyFont="1" applyFill="1" applyBorder="1" applyAlignment="1">
      <alignment horizontal="center" vertical="center"/>
    </xf>
    <xf numFmtId="183" fontId="5" fillId="3" borderId="36" xfId="0" applyNumberFormat="1" applyFont="1" applyFill="1" applyBorder="1" applyAlignment="1">
      <alignment horizontal="center" vertical="center"/>
    </xf>
    <xf numFmtId="0" fontId="4" fillId="9" borderId="45" xfId="0" applyFont="1" applyFill="1" applyBorder="1" applyAlignment="1">
      <alignment horizontal="center" vertical="center"/>
    </xf>
    <xf numFmtId="181" fontId="0" fillId="3" borderId="25" xfId="0" applyNumberFormat="1" applyFill="1" applyBorder="1" applyAlignment="1">
      <alignment horizontal="center" vertical="center"/>
    </xf>
    <xf numFmtId="184" fontId="0" fillId="3" borderId="25" xfId="2" applyNumberFormat="1" applyFont="1" applyFill="1" applyBorder="1" applyAlignment="1">
      <alignment horizontal="center" vertical="center"/>
    </xf>
    <xf numFmtId="0" fontId="15" fillId="8" borderId="0" xfId="0" applyFont="1" applyFill="1"/>
    <xf numFmtId="9" fontId="3" fillId="7" borderId="31" xfId="2" applyFont="1" applyFill="1" applyBorder="1" applyAlignment="1">
      <alignment horizontal="center" vertical="center"/>
    </xf>
    <xf numFmtId="9" fontId="3" fillId="7" borderId="29" xfId="2" applyFont="1" applyFill="1" applyBorder="1" applyAlignment="1">
      <alignment horizontal="center" vertical="center"/>
    </xf>
    <xf numFmtId="0" fontId="0" fillId="11" borderId="0" xfId="0" applyFill="1"/>
    <xf numFmtId="0" fontId="10" fillId="12" borderId="46" xfId="0" applyFont="1" applyFill="1" applyBorder="1" applyAlignment="1">
      <alignment horizontal="center" vertical="center"/>
    </xf>
    <xf numFmtId="177" fontId="9" fillId="12" borderId="46" xfId="0" applyNumberFormat="1" applyFont="1" applyFill="1" applyBorder="1" applyAlignment="1">
      <alignment horizontal="center" vertical="center"/>
    </xf>
    <xf numFmtId="181" fontId="9" fillId="12" borderId="46" xfId="0" applyNumberFormat="1" applyFont="1" applyFill="1" applyBorder="1" applyAlignment="1">
      <alignment horizontal="center" vertical="center"/>
    </xf>
    <xf numFmtId="184" fontId="9" fillId="12" borderId="46" xfId="0" applyNumberFormat="1" applyFont="1" applyFill="1" applyBorder="1" applyAlignment="1">
      <alignment horizontal="center" vertical="center"/>
    </xf>
    <xf numFmtId="179" fontId="9" fillId="12" borderId="46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17" fillId="11" borderId="47" xfId="0" applyFont="1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10" fontId="0" fillId="9" borderId="46" xfId="0" applyNumberFormat="1" applyFill="1" applyBorder="1" applyAlignment="1">
      <alignment horizontal="center" vertical="center"/>
    </xf>
    <xf numFmtId="0" fontId="2" fillId="9" borderId="48" xfId="0" applyFont="1" applyFill="1" applyBorder="1" applyAlignment="1">
      <alignment horizontal="center" vertical="center"/>
    </xf>
    <xf numFmtId="177" fontId="0" fillId="9" borderId="48" xfId="1" applyNumberFormat="1" applyFont="1" applyFill="1" applyBorder="1" applyAlignment="1">
      <alignment horizontal="center" vertical="center"/>
    </xf>
    <xf numFmtId="181" fontId="0" fillId="9" borderId="48" xfId="0" applyNumberFormat="1" applyFill="1" applyBorder="1" applyAlignment="1">
      <alignment horizontal="center" vertical="center"/>
    </xf>
    <xf numFmtId="185" fontId="0" fillId="9" borderId="48" xfId="2" applyNumberFormat="1" applyFont="1" applyFill="1" applyBorder="1" applyAlignment="1">
      <alignment horizontal="center" vertical="center"/>
    </xf>
    <xf numFmtId="179" fontId="0" fillId="9" borderId="48" xfId="1" applyNumberFormat="1" applyFont="1" applyFill="1" applyBorder="1" applyAlignment="1">
      <alignment horizontal="center" vertical="center"/>
    </xf>
    <xf numFmtId="0" fontId="2" fillId="9" borderId="49" xfId="0" applyFont="1" applyFill="1" applyBorder="1" applyAlignment="1">
      <alignment horizontal="center" vertical="center"/>
    </xf>
    <xf numFmtId="177" fontId="0" fillId="9" borderId="49" xfId="1" applyNumberFormat="1" applyFont="1" applyFill="1" applyBorder="1" applyAlignment="1">
      <alignment horizontal="center" vertical="center"/>
    </xf>
    <xf numFmtId="181" fontId="0" fillId="9" borderId="49" xfId="0" applyNumberFormat="1" applyFill="1" applyBorder="1" applyAlignment="1">
      <alignment horizontal="center" vertical="center"/>
    </xf>
    <xf numFmtId="185" fontId="0" fillId="9" borderId="49" xfId="2" applyNumberFormat="1" applyFont="1" applyFill="1" applyBorder="1" applyAlignment="1">
      <alignment horizontal="center" vertical="center"/>
    </xf>
    <xf numFmtId="179" fontId="0" fillId="9" borderId="49" xfId="1" applyNumberFormat="1" applyFont="1" applyFill="1" applyBorder="1" applyAlignment="1">
      <alignment horizontal="center" vertical="center"/>
    </xf>
    <xf numFmtId="0" fontId="10" fillId="12" borderId="49" xfId="0" applyFont="1" applyFill="1" applyBorder="1" applyAlignment="1">
      <alignment horizontal="center" vertical="center"/>
    </xf>
    <xf numFmtId="177" fontId="9" fillId="12" borderId="49" xfId="0" applyNumberFormat="1" applyFont="1" applyFill="1" applyBorder="1" applyAlignment="1">
      <alignment horizontal="center" vertical="center"/>
    </xf>
    <xf numFmtId="181" fontId="9" fillId="12" borderId="49" xfId="0" applyNumberFormat="1" applyFont="1" applyFill="1" applyBorder="1" applyAlignment="1">
      <alignment horizontal="center" vertical="center"/>
    </xf>
    <xf numFmtId="184" fontId="9" fillId="12" borderId="49" xfId="0" applyNumberFormat="1" applyFont="1" applyFill="1" applyBorder="1" applyAlignment="1">
      <alignment horizontal="center" vertical="center"/>
    </xf>
    <xf numFmtId="179" fontId="9" fillId="12" borderId="49" xfId="0" applyNumberFormat="1" applyFont="1" applyFill="1" applyBorder="1" applyAlignment="1">
      <alignment horizontal="center" vertical="center"/>
    </xf>
    <xf numFmtId="0" fontId="19" fillId="15" borderId="47" xfId="0" applyFont="1" applyFill="1" applyBorder="1"/>
    <xf numFmtId="1" fontId="20" fillId="15" borderId="47" xfId="0" applyNumberFormat="1" applyFont="1" applyFill="1" applyBorder="1" applyAlignment="1">
      <alignment horizontal="center" vertical="center"/>
    </xf>
    <xf numFmtId="0" fontId="20" fillId="15" borderId="47" xfId="0" applyFont="1" applyFill="1" applyBorder="1" applyAlignment="1">
      <alignment horizontal="left" vertical="center" wrapText="1" indent="2"/>
    </xf>
    <xf numFmtId="0" fontId="19" fillId="15" borderId="47" xfId="0" applyFont="1" applyFill="1" applyBorder="1" applyAlignment="1">
      <alignment horizontal="center" vertical="center"/>
    </xf>
    <xf numFmtId="174" fontId="19" fillId="15" borderId="47" xfId="0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b/>
        <i/>
        <strike val="0"/>
        <color rgb="FFFF0000"/>
      </font>
    </dxf>
  </dxfs>
  <tableStyles count="0" defaultTableStyle="TableStyleMedium2" defaultPivotStyle="PivotStyleLight16"/>
  <colors>
    <mruColors>
      <color rgb="FF400C11"/>
      <color rgb="FF6412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16</xdr:row>
          <xdr:rowOff>91440</xdr:rowOff>
        </xdr:from>
        <xdr:to>
          <xdr:col>0</xdr:col>
          <xdr:colOff>800100</xdr:colOff>
          <xdr:row>26</xdr:row>
          <xdr:rowOff>129540</xdr:rowOff>
        </xdr:to>
        <xdr:sp macro="" textlink="">
          <xdr:nvSpPr>
            <xdr:cNvPr id="15361" name="BtnSaveRecipe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wordArtVert" wrap="square" lIns="45720" tIns="0" rIns="45720" bIns="0" anchor="ctr" upright="1"/>
            <a:lstStyle/>
            <a:p>
              <a:pPr algn="ctr" rtl="0">
                <a:defRPr sz="1000"/>
              </a:pPr>
              <a:r>
                <a:rPr lang="en-GB" sz="1600" b="1" i="1" u="none" strike="noStrike" baseline="0">
                  <a:solidFill>
                    <a:srgbClr val="000000"/>
                  </a:solidFill>
                  <a:latin typeface="Aptos Display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14</xdr:row>
          <xdr:rowOff>53340</xdr:rowOff>
        </xdr:from>
        <xdr:to>
          <xdr:col>0</xdr:col>
          <xdr:colOff>967740</xdr:colOff>
          <xdr:row>14</xdr:row>
          <xdr:rowOff>213360</xdr:rowOff>
        </xdr:to>
        <xdr:sp macro="" textlink="">
          <xdr:nvSpPr>
            <xdr:cNvPr id="15362" name="BtnAddFlavorInpu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flavor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68580</xdr:rowOff>
        </xdr:from>
        <xdr:to>
          <xdr:col>5</xdr:col>
          <xdr:colOff>716280</xdr:colOff>
          <xdr:row>5</xdr:row>
          <xdr:rowOff>60960</xdr:rowOff>
        </xdr:to>
        <xdr:sp macro="" textlink="">
          <xdr:nvSpPr>
            <xdr:cNvPr id="15363" name="CbSeparateVgPg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E699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separate VG &amp; PG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1</xdr:row>
          <xdr:rowOff>22860</xdr:rowOff>
        </xdr:from>
        <xdr:to>
          <xdr:col>5</xdr:col>
          <xdr:colOff>975360</xdr:colOff>
          <xdr:row>1</xdr:row>
          <xdr:rowOff>167640</xdr:rowOff>
        </xdr:to>
        <xdr:sp macro="" textlink="">
          <xdr:nvSpPr>
            <xdr:cNvPr id="15364" name="BtnChangeIngredientsInfo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ingredients' info</a:t>
              </a:r>
            </a:p>
            <a:p>
              <a:pPr algn="ctr" rtl="0">
                <a:defRPr sz="1000"/>
              </a:pPr>
              <a:endParaRPr lang="en-GB" sz="1100" b="0" i="1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3</xdr:col>
          <xdr:colOff>312420</xdr:colOff>
          <xdr:row>13</xdr:row>
          <xdr:rowOff>0</xdr:rowOff>
        </xdr:to>
        <xdr:sp macro="" textlink="">
          <xdr:nvSpPr>
            <xdr:cNvPr id="15365" name="ButtonDeleteFlavorInput13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40692E4F-F509-FE4A-4198-CF2A9DE6E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3</xdr:col>
          <xdr:colOff>312420</xdr:colOff>
          <xdr:row>14</xdr:row>
          <xdr:rowOff>0</xdr:rowOff>
        </xdr:to>
        <xdr:sp macro="" textlink="">
          <xdr:nvSpPr>
            <xdr:cNvPr id="15367" name="ButtonDeleteFlavorInput14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E4EF5DC8-2812-A229-8C22-802CFA821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2</xdr:row>
          <xdr:rowOff>1036320</xdr:rowOff>
        </xdr:to>
        <xdr:sp macro="" textlink="">
          <xdr:nvSpPr>
            <xdr:cNvPr id="17409" name="BtnRemixLiquid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C9066090-4506-CC94-3674-5DFDDD61C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Mix again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1036320</xdr:rowOff>
        </xdr:from>
        <xdr:to>
          <xdr:col>1</xdr:col>
          <xdr:colOff>1127760</xdr:colOff>
          <xdr:row>2</xdr:row>
          <xdr:rowOff>1554480</xdr:rowOff>
        </xdr:to>
        <xdr:sp macro="" textlink="">
          <xdr:nvSpPr>
            <xdr:cNvPr id="17410" name="BtnStartLiquid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26739EB3-AAC7-7FA8-521C-B1A4CB75A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Not Started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2</xdr:row>
          <xdr:rowOff>1036320</xdr:rowOff>
        </xdr:from>
        <xdr:to>
          <xdr:col>1</xdr:col>
          <xdr:colOff>2255520</xdr:colOff>
          <xdr:row>2</xdr:row>
          <xdr:rowOff>1554480</xdr:rowOff>
        </xdr:to>
        <xdr:sp macro="" textlink="">
          <xdr:nvSpPr>
            <xdr:cNvPr id="17411" name="BtnFinishLiquid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247BE057-6EC7-BB1B-C8D3-DB29E8920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Not Finished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2255520</xdr:colOff>
          <xdr:row>2</xdr:row>
          <xdr:rowOff>1036320</xdr:rowOff>
        </xdr:from>
        <xdr:to>
          <xdr:col>2</xdr:col>
          <xdr:colOff>0</xdr:colOff>
          <xdr:row>2</xdr:row>
          <xdr:rowOff>1554480</xdr:rowOff>
        </xdr:to>
        <xdr:sp macro="" textlink="">
          <xdr:nvSpPr>
            <xdr:cNvPr id="17412" name="BtnSeeLiquidStats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AA6D8AC7-89BA-10FA-D29F-99B8C950A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1554480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7413" name="BtnDeleteLiquid1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B982DAF5-BCFD-C484-744B-5A7DC75F1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373380</xdr:colOff>
          <xdr:row>1</xdr:row>
          <xdr:rowOff>0</xdr:rowOff>
        </xdr:to>
        <xdr:sp macro="" textlink="">
          <xdr:nvSpPr>
            <xdr:cNvPr id="16427" name="BtnAddFlavorDbRow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3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GB" sz="3000" b="1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373380</xdr:colOff>
          <xdr:row>2</xdr:row>
          <xdr:rowOff>0</xdr:rowOff>
        </xdr:to>
        <xdr:sp macro="" textlink="">
          <xdr:nvSpPr>
            <xdr:cNvPr id="16428" name="BtnDelFlvDb1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B7196125-DC01-C859-D3AD-F7C7BBE00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373380</xdr:colOff>
          <xdr:row>3</xdr:row>
          <xdr:rowOff>0</xdr:rowOff>
        </xdr:to>
        <xdr:sp macro="" textlink="">
          <xdr:nvSpPr>
            <xdr:cNvPr id="16429" name="BtnDelFlvDb2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64EA1B2F-C84E-D6E7-66BA-418F3617C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9272D-A616-47D0-A88F-17E269A5AEE5}">
  <sheetPr codeName="LiquidCalculatorSheet">
    <tabColor rgb="FFFFC000"/>
  </sheetPr>
  <dimension ref="A1:N34"/>
  <sheetViews>
    <sheetView showGridLines="0" zoomScale="85" zoomScaleNormal="100" workbookViewId="0">
      <selection activeCell="C35" sqref="C35"/>
    </sheetView>
  </sheetViews>
  <sheetFormatPr defaultColWidth="8.44140625" defaultRowHeight="14.4" x14ac:dyDescent="0.3"/>
  <cols>
    <col min="1" max="1" width="15.33203125" style="4" customWidth="1"/>
    <col min="2" max="3" width="28.109375" style="4" customWidth="1"/>
    <col min="4" max="4" width="13.88671875" style="4" customWidth="1"/>
    <col min="5" max="5" width="9.6640625" style="4" customWidth="1"/>
    <col min="6" max="6" width="14.5546875" style="4" customWidth="1"/>
    <col min="7" max="7" width="13.21875" style="67" customWidth="1"/>
    <col min="8" max="8" width="12.33203125" style="4" bestFit="1" customWidth="1"/>
    <col min="9" max="16384" width="8.44140625" style="4"/>
  </cols>
  <sheetData>
    <row r="1" spans="1:7" ht="15" thickBot="1" x14ac:dyDescent="0.35">
      <c r="A1" s="3"/>
    </row>
    <row r="2" spans="1:7" ht="16.2" thickBot="1" x14ac:dyDescent="0.35">
      <c r="B2" s="86" t="s">
        <v>14</v>
      </c>
      <c r="C2" s="87"/>
      <c r="D2" s="88"/>
    </row>
    <row r="3" spans="1:7" hidden="1" x14ac:dyDescent="0.3">
      <c r="B3" s="89" t="s">
        <v>0</v>
      </c>
      <c r="C3" s="17" t="s">
        <v>7</v>
      </c>
      <c r="D3" s="18">
        <v>0.7</v>
      </c>
    </row>
    <row r="4" spans="1:7" ht="15" hidden="1" thickBot="1" x14ac:dyDescent="0.35">
      <c r="B4" s="90"/>
      <c r="C4" s="19" t="s">
        <v>8</v>
      </c>
      <c r="D4" s="20">
        <v>0.30000000000000004</v>
      </c>
    </row>
    <row r="5" spans="1:7" x14ac:dyDescent="0.3">
      <c r="B5" s="91" t="s">
        <v>26</v>
      </c>
      <c r="C5" s="21" t="s">
        <v>7</v>
      </c>
      <c r="D5" s="22">
        <v>0.7</v>
      </c>
    </row>
    <row r="6" spans="1:7" x14ac:dyDescent="0.3">
      <c r="B6" s="92"/>
      <c r="C6" s="21" t="s">
        <v>8</v>
      </c>
      <c r="D6" s="22">
        <v>0.3</v>
      </c>
    </row>
    <row r="7" spans="1:7" ht="15" thickBot="1" x14ac:dyDescent="0.35">
      <c r="B7" s="93"/>
      <c r="C7" s="23" t="s">
        <v>3</v>
      </c>
      <c r="D7" s="24">
        <v>20</v>
      </c>
      <c r="E7" s="6"/>
      <c r="F7" s="7"/>
    </row>
    <row r="9" spans="1:7" ht="15" thickBot="1" x14ac:dyDescent="0.35"/>
    <row r="10" spans="1:7" ht="15" thickBot="1" x14ac:dyDescent="0.35">
      <c r="B10" s="94" t="s">
        <v>20</v>
      </c>
      <c r="C10" s="95"/>
      <c r="D10" s="5"/>
      <c r="E10" s="5"/>
    </row>
    <row r="11" spans="1:7" x14ac:dyDescent="0.3">
      <c r="B11" s="29" t="s">
        <v>17</v>
      </c>
      <c r="C11" s="30">
        <v>100</v>
      </c>
      <c r="D11" s="35" t="s">
        <v>50</v>
      </c>
      <c r="E11" s="78">
        <v>0.7</v>
      </c>
    </row>
    <row r="12" spans="1:7" ht="15" thickBot="1" x14ac:dyDescent="0.35">
      <c r="B12" s="31" t="s">
        <v>18</v>
      </c>
      <c r="C12" s="32">
        <v>3</v>
      </c>
      <c r="D12" s="36" t="s">
        <v>51</v>
      </c>
      <c r="E12" s="79">
        <v>0.30000000000000004</v>
      </c>
    </row>
    <row r="13" spans="1:7" ht="15" thickBot="1" x14ac:dyDescent="0.35">
      <c r="B13" s="100" t="s">
        <v>48</v>
      </c>
      <c r="C13" s="101">
        <v>0.04</v>
      </c>
      <c r="D13" s="80"/>
      <c r="E13" s="80"/>
      <c r="G13" s="67" t="s">
        <v>46</v>
      </c>
    </row>
    <row r="14" spans="1:7" ht="15" thickBot="1" x14ac:dyDescent="0.35">
      <c r="B14" s="100" t="s">
        <v>49</v>
      </c>
      <c r="C14" s="101">
        <v>7.4999999999999997E-3</v>
      </c>
      <c r="D14" s="80"/>
      <c r="E14" s="80"/>
      <c r="G14" s="67" t="s">
        <v>46</v>
      </c>
    </row>
    <row r="15" spans="1:7" ht="19.8" customHeight="1" x14ac:dyDescent="0.3">
      <c r="B15" s="8"/>
      <c r="C15" s="9"/>
    </row>
    <row r="16" spans="1:7" ht="15" thickBot="1" x14ac:dyDescent="0.35"/>
    <row r="17" spans="2:14" ht="15" thickBot="1" x14ac:dyDescent="0.35">
      <c r="B17" s="96" t="s">
        <v>16</v>
      </c>
      <c r="C17" s="97"/>
      <c r="D17" s="97"/>
      <c r="E17" s="97"/>
      <c r="F17" s="98"/>
    </row>
    <row r="18" spans="2:14" ht="15" thickBot="1" x14ac:dyDescent="0.35">
      <c r="B18" s="25" t="s">
        <v>6</v>
      </c>
      <c r="C18" s="28" t="s">
        <v>19</v>
      </c>
      <c r="D18" s="26" t="s">
        <v>15</v>
      </c>
      <c r="E18" s="26" t="s">
        <v>9</v>
      </c>
      <c r="F18" s="27" t="s">
        <v>11</v>
      </c>
    </row>
    <row r="19" spans="2:14" ht="15" thickBot="1" x14ac:dyDescent="0.35">
      <c r="B19" s="81" t="s">
        <v>1</v>
      </c>
      <c r="C19" s="82">
        <f>($C$11*$E$11)-($D$5*C21)</f>
        <v>59.5</v>
      </c>
      <c r="D19" s="83">
        <f>C19*'Ingredients Info'!C3</f>
        <v>75.054999999999993</v>
      </c>
      <c r="E19" s="84">
        <f>C19/C24</f>
        <v>0.59499999999999997</v>
      </c>
      <c r="F19" s="85">
        <f>IF(ISNA(VLOOKUP(B19,'Ingredients Info'!$B$8:$B$11,1,0)),0,VLOOKUP(B19,'Ingredients Info'!$B$8:$F$11,5,0)*C19)</f>
        <v>4.165</v>
      </c>
      <c r="G19" s="67" t="s">
        <v>52</v>
      </c>
    </row>
    <row r="20" spans="2:14" ht="15" thickBot="1" x14ac:dyDescent="0.35">
      <c r="B20" s="112" t="s">
        <v>2</v>
      </c>
      <c r="C20" s="113">
        <f>($C$11*$E$12)-(SUM(C22:C23)+($D$6*C21))</f>
        <v>20.750000000000004</v>
      </c>
      <c r="D20" s="114">
        <f>C20*'Ingredients Info'!C4</f>
        <v>21.528125000000006</v>
      </c>
      <c r="E20" s="115">
        <f>C20/C24</f>
        <v>0.20750000000000005</v>
      </c>
      <c r="F20" s="116">
        <f>IF(ISNA(VLOOKUP(B20,'Ingredients Info'!$B$8:$B$11,1,0)),0,VLOOKUP(B20,'Ingredients Info'!$B$8:$F$11,5,0)*C20)</f>
        <v>2.2825000000000002</v>
      </c>
      <c r="G20" s="67" t="s">
        <v>53</v>
      </c>
    </row>
    <row r="21" spans="2:14" ht="15" thickBot="1" x14ac:dyDescent="0.35">
      <c r="B21" s="1" t="s">
        <v>26</v>
      </c>
      <c r="C21" s="38">
        <f>(C12*C11)/D7</f>
        <v>15</v>
      </c>
      <c r="D21" s="75">
        <f>((D7/1000)*C21*'Ingredients Info'!C5)+(C21*(100%-(D7/1000)))*(D5*'Ingredients Info'!C3+D6*'Ingredients Info'!C4)</f>
        <v>17.858474999999999</v>
      </c>
      <c r="E21" s="76">
        <f>C21/C24</f>
        <v>0.15</v>
      </c>
      <c r="F21" s="39">
        <f>IF(ISNA(VLOOKUP(B21,'Ingredients Info'!$B$8:$B$11,1,0)),0,VLOOKUP(B21,'Ingredients Info'!$B$8:$F$11,5,0)*C21)</f>
        <v>25.5</v>
      </c>
      <c r="G21" s="67" t="s">
        <v>33</v>
      </c>
    </row>
    <row r="22" spans="2:14" ht="15" thickBot="1" x14ac:dyDescent="0.35">
      <c r="B22" s="102" t="str">
        <f>B13</f>
        <v>NY Cheesecake - CAP</v>
      </c>
      <c r="C22" s="103">
        <f>$C$11*C13</f>
        <v>4</v>
      </c>
      <c r="D22" s="104">
        <f>C22</f>
        <v>4</v>
      </c>
      <c r="E22" s="105">
        <f>C22/C24</f>
        <v>0.04</v>
      </c>
      <c r="F22" s="106">
        <f>IF(ISNA(VLOOKUP(B22,Flavors!A:A,1,0)),0,VLOOKUP(B22,Flavors!A:B,2,0)*C22)</f>
        <v>6</v>
      </c>
      <c r="G22" s="67" t="s">
        <v>47</v>
      </c>
    </row>
    <row r="23" spans="2:14" ht="15" thickBot="1" x14ac:dyDescent="0.35">
      <c r="B23" s="107" t="str">
        <f>B14</f>
        <v>Super Sweet - CAP</v>
      </c>
      <c r="C23" s="108">
        <f>$C$11*C14</f>
        <v>0.75</v>
      </c>
      <c r="D23" s="109">
        <f>C23</f>
        <v>0.75</v>
      </c>
      <c r="E23" s="110">
        <f>C23/C24</f>
        <v>7.4999999999999997E-3</v>
      </c>
      <c r="F23" s="111">
        <f>IF(ISNA(VLOOKUP(B23,Flavors!A:A,1,0)),0,VLOOKUP(B23,Flavors!A:B,2,0)*C23)</f>
        <v>0.67500000000000004</v>
      </c>
      <c r="G23" s="67" t="s">
        <v>47</v>
      </c>
    </row>
    <row r="24" spans="2:14" ht="15" thickBot="1" x14ac:dyDescent="0.35">
      <c r="B24" s="2" t="s">
        <v>21</v>
      </c>
      <c r="C24" s="43">
        <f>SUM(C19:C23)</f>
        <v>100</v>
      </c>
      <c r="D24" s="44">
        <f t="shared" ref="D24:F24" si="0">SUM(D19:D23)</f>
        <v>119.19159999999999</v>
      </c>
      <c r="E24" s="42">
        <f t="shared" si="0"/>
        <v>1</v>
      </c>
      <c r="F24" s="45">
        <f t="shared" si="0"/>
        <v>38.622499999999995</v>
      </c>
      <c r="G24" s="67" t="s">
        <v>32</v>
      </c>
      <c r="H24" s="40"/>
      <c r="J24" s="11"/>
      <c r="K24" s="11"/>
      <c r="L24" s="41"/>
      <c r="M24" s="40"/>
      <c r="N24" s="10"/>
    </row>
    <row r="25" spans="2:14" x14ac:dyDescent="0.3">
      <c r="B25" s="35" t="s">
        <v>7</v>
      </c>
      <c r="C25" s="78">
        <f>(C19+C21*$D$5)/$C$11</f>
        <v>0.7</v>
      </c>
      <c r="D25" s="12"/>
      <c r="G25" s="67" t="s">
        <v>28</v>
      </c>
    </row>
    <row r="26" spans="2:14" ht="15" thickBot="1" x14ac:dyDescent="0.35">
      <c r="B26" s="36" t="s">
        <v>8</v>
      </c>
      <c r="C26" s="79">
        <f>100%-C25</f>
        <v>0.30000000000000004</v>
      </c>
      <c r="D26" s="12"/>
      <c r="G26" s="67" t="s">
        <v>29</v>
      </c>
    </row>
    <row r="27" spans="2:14" ht="15" thickBot="1" x14ac:dyDescent="0.35">
      <c r="B27" s="33" t="s">
        <v>30</v>
      </c>
      <c r="C27" s="37">
        <f>SUM(C13:C14)</f>
        <v>4.7500000000000001E-2</v>
      </c>
      <c r="G27" s="67" t="s">
        <v>31</v>
      </c>
    </row>
    <row r="28" spans="2:14" x14ac:dyDescent="0.3">
      <c r="B28" s="5"/>
      <c r="C28" s="5"/>
      <c r="D28" s="5"/>
      <c r="E28" s="5"/>
      <c r="F28" s="5"/>
      <c r="G28" s="68"/>
    </row>
    <row r="29" spans="2:14" x14ac:dyDescent="0.3">
      <c r="B29" s="8"/>
      <c r="C29" s="34"/>
      <c r="D29" s="8"/>
      <c r="E29" s="8"/>
      <c r="F29" s="8"/>
      <c r="G29" s="69"/>
    </row>
    <row r="30" spans="2:14" x14ac:dyDescent="0.3">
      <c r="B30" s="15"/>
      <c r="C30" s="16"/>
      <c r="D30" s="13"/>
      <c r="E30" s="9"/>
      <c r="F30" s="14"/>
      <c r="G30" s="70"/>
    </row>
    <row r="33" spans="7:7" x14ac:dyDescent="0.3">
      <c r="G33" s="69"/>
    </row>
    <row r="34" spans="7:7" x14ac:dyDescent="0.3">
      <c r="G34" s="71"/>
    </row>
  </sheetData>
  <mergeCells count="5">
    <mergeCell ref="B2:D2"/>
    <mergeCell ref="B3:B4"/>
    <mergeCell ref="B5:B7"/>
    <mergeCell ref="B10:C10"/>
    <mergeCell ref="B17:F17"/>
  </mergeCells>
  <conditionalFormatting sqref="G34">
    <cfRule type="cellIs" dxfId="0" priority="1" operator="equal">
      <formula>"Unknown"</formula>
    </cfRule>
  </conditionalFormatting>
  <dataValidations count="1">
    <dataValidation allowBlank="1" showInputMessage="1" sqref="D15" xr:uid="{5063E6C9-7640-471C-A76E-B04B3643AE0E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tnSaveRecipe">
              <controlPr defaultSize="0" print="0" autoFill="0" autoPict="0" macro="[0]!LiquidCalculatorSheet.SaveLiquid">
                <anchor moveWithCells="1" sizeWithCells="1">
                  <from>
                    <xdr:col>0</xdr:col>
                    <xdr:colOff>274320</xdr:colOff>
                    <xdr:row>16</xdr:row>
                    <xdr:rowOff>91440</xdr:rowOff>
                  </from>
                  <to>
                    <xdr:col>0</xdr:col>
                    <xdr:colOff>800100</xdr:colOff>
                    <xdr:row>26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tnAddFlavorInput">
              <controlPr defaultSize="0" print="0" autoFill="0" autoPict="0" macro="[0]!LiquidCalculatorSheet.AddFlavor">
                <anchor moveWithCells="1" sizeWithCells="1">
                  <from>
                    <xdr:col>0</xdr:col>
                    <xdr:colOff>53340</xdr:colOff>
                    <xdr:row>14</xdr:row>
                    <xdr:rowOff>53340</xdr:rowOff>
                  </from>
                  <to>
                    <xdr:col>0</xdr:col>
                    <xdr:colOff>967740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bSeparateVgPg">
              <controlPr defaultSize="0" autoFill="0" autoLine="0" autoPict="0" macro="[0]!LiquidCalculatorSheet.CheckBoxSeparateVgPgClick">
                <anchor moveWithCells="1">
                  <from>
                    <xdr:col>4</xdr:col>
                    <xdr:colOff>76200</xdr:colOff>
                    <xdr:row>2</xdr:row>
                    <xdr:rowOff>68580</xdr:rowOff>
                  </from>
                  <to>
                    <xdr:col>5</xdr:col>
                    <xdr:colOff>716280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tnChangeIngredientsInfo">
              <controlPr defaultSize="0" print="0" autoFill="0" autoPict="0" macro="[0]!LiquidCalculatorSheet.editIngredientsInfoClick">
                <anchor moveWithCells="1">
                  <from>
                    <xdr:col>4</xdr:col>
                    <xdr:colOff>68580</xdr:colOff>
                    <xdr:row>1</xdr:row>
                    <xdr:rowOff>22860</xdr:rowOff>
                  </from>
                  <to>
                    <xdr:col>5</xdr:col>
                    <xdr:colOff>975360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DeleteFlavorInput13">
              <controlPr defaultSize="0" print="0" autoFill="0" autoPict="0" macro="[0]!LiquidCalculatorSheet.deleteFlavo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312420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DeleteFlavorInput14">
              <controlPr defaultSize="0" print="0" autoFill="0" autoPict="0" macro="[0]!LiquidCalculatorSheet.deleteFlavor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312420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21685ECF-64B1-4761-83F8-31CA97FF6F4F}">
          <x14:formula1>
            <xm:f>OFFSET(Flavors!$A$1,1,0,COUNTA(Flavors!$A:$A)-1)</xm:f>
          </x14:formula1>
          <xm:sqref>B13:B14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50535-18F0-42A0-B4C6-F17E4A4170F3}">
  <sheetPr codeName="IngredientsInfoSheet">
    <tabColor rgb="FFFFFF00"/>
  </sheetPr>
  <dimension ref="B1:G11"/>
  <sheetViews>
    <sheetView showGridLines="0" workbookViewId="0">
      <selection activeCell="D16" sqref="D16"/>
    </sheetView>
  </sheetViews>
  <sheetFormatPr defaultRowHeight="14.4" x14ac:dyDescent="0.3"/>
  <cols>
    <col min="1" max="1" width="2.77734375" style="4" customWidth="1"/>
    <col min="2" max="2" width="13.5546875" style="4" customWidth="1"/>
    <col min="3" max="3" width="30.33203125" style="4" bestFit="1" customWidth="1"/>
    <col min="4" max="4" width="12.21875" style="4" bestFit="1" customWidth="1"/>
    <col min="5" max="5" width="7.77734375" style="4" customWidth="1"/>
    <col min="6" max="6" width="11.44140625" style="4" customWidth="1"/>
    <col min="7" max="7" width="14.6640625" style="4" customWidth="1"/>
    <col min="8" max="8" width="8" style="4" customWidth="1"/>
    <col min="9" max="9" width="9.6640625" style="4" customWidth="1"/>
    <col min="10" max="16384" width="8.88671875" style="4"/>
  </cols>
  <sheetData>
    <row r="1" spans="2:7" ht="15" thickBot="1" x14ac:dyDescent="0.35"/>
    <row r="2" spans="2:7" x14ac:dyDescent="0.3">
      <c r="B2" s="58" t="s">
        <v>6</v>
      </c>
      <c r="C2" s="58" t="s">
        <v>4</v>
      </c>
    </row>
    <row r="3" spans="2:7" x14ac:dyDescent="0.3">
      <c r="B3" s="46" t="s">
        <v>1</v>
      </c>
      <c r="C3" s="72">
        <v>1.2614285714285713</v>
      </c>
    </row>
    <row r="4" spans="2:7" x14ac:dyDescent="0.3">
      <c r="B4" s="46" t="s">
        <v>2</v>
      </c>
      <c r="C4" s="72">
        <v>1.0375000000000001</v>
      </c>
    </row>
    <row r="5" spans="2:7" ht="15" thickBot="1" x14ac:dyDescent="0.35">
      <c r="B5" s="47" t="s">
        <v>5</v>
      </c>
      <c r="C5" s="73">
        <v>1.01</v>
      </c>
    </row>
    <row r="6" spans="2:7" ht="15" thickBot="1" x14ac:dyDescent="0.35">
      <c r="G6" s="15"/>
    </row>
    <row r="7" spans="2:7" x14ac:dyDescent="0.3">
      <c r="B7" s="58" t="s">
        <v>6</v>
      </c>
      <c r="C7" s="59" t="s">
        <v>13</v>
      </c>
      <c r="D7" s="60" t="s">
        <v>27</v>
      </c>
      <c r="E7" s="60" t="s">
        <v>10</v>
      </c>
      <c r="F7" s="61" t="s">
        <v>12</v>
      </c>
      <c r="G7" s="15"/>
    </row>
    <row r="8" spans="2:7" x14ac:dyDescent="0.3">
      <c r="B8" s="54" t="s">
        <v>0</v>
      </c>
      <c r="C8" s="52" t="s">
        <v>41</v>
      </c>
      <c r="D8" s="56">
        <v>500</v>
      </c>
      <c r="E8" s="48">
        <v>35</v>
      </c>
      <c r="F8" s="49">
        <f>E8/D8</f>
        <v>7.0000000000000007E-2</v>
      </c>
      <c r="G8" s="15"/>
    </row>
    <row r="9" spans="2:7" x14ac:dyDescent="0.3">
      <c r="B9" s="54" t="s">
        <v>1</v>
      </c>
      <c r="C9" s="52" t="s">
        <v>39</v>
      </c>
      <c r="D9" s="56">
        <v>500</v>
      </c>
      <c r="E9" s="48">
        <v>35</v>
      </c>
      <c r="F9" s="49">
        <f>E9/D9</f>
        <v>7.0000000000000007E-2</v>
      </c>
      <c r="G9" s="15"/>
    </row>
    <row r="10" spans="2:7" x14ac:dyDescent="0.3">
      <c r="B10" s="54" t="s">
        <v>2</v>
      </c>
      <c r="C10" s="52" t="s">
        <v>42</v>
      </c>
      <c r="D10" s="56">
        <v>100</v>
      </c>
      <c r="E10" s="48">
        <v>11</v>
      </c>
      <c r="F10" s="49">
        <f>E10/D10</f>
        <v>0.11</v>
      </c>
    </row>
    <row r="11" spans="2:7" ht="15" thickBot="1" x14ac:dyDescent="0.35">
      <c r="B11" s="55" t="s">
        <v>26</v>
      </c>
      <c r="C11" s="53" t="s">
        <v>40</v>
      </c>
      <c r="D11" s="57">
        <v>10</v>
      </c>
      <c r="E11" s="50">
        <v>17</v>
      </c>
      <c r="F11" s="51">
        <f>E11/D11</f>
        <v>1.7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7CC97-4030-45BB-9F75-6876C4E3165C}">
  <sheetPr codeName="LiquidHistorySheet">
    <tabColor rgb="FF400C11"/>
  </sheetPr>
  <dimension ref="A1:O3"/>
  <sheetViews>
    <sheetView showGridLines="0"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9" sqref="D9"/>
    </sheetView>
  </sheetViews>
  <sheetFormatPr defaultRowHeight="14.4" x14ac:dyDescent="0.3"/>
  <cols>
    <col min="1" max="1" width="1.88671875" style="4" customWidth="1"/>
    <col min="2" max="2" width="49.44140625" style="4" customWidth="1"/>
    <col min="3" max="3" width="9.44140625" style="4" bestFit="1" customWidth="1"/>
    <col min="4" max="4" width="54.5546875" style="4" customWidth="1"/>
    <col min="5" max="5" width="16.33203125" style="4" bestFit="1" customWidth="1"/>
    <col min="6" max="6" width="14.5546875" style="4" customWidth="1"/>
    <col min="7" max="7" width="42.5546875" style="64" customWidth="1"/>
    <col min="8" max="8" width="10.44140625" style="4" customWidth="1"/>
    <col min="9" max="10" width="21.77734375" style="64" customWidth="1"/>
    <col min="11" max="11" width="9.6640625" style="65" customWidth="1"/>
    <col min="12" max="12" width="8.109375" style="4" customWidth="1"/>
    <col min="13" max="13" width="8" style="65" customWidth="1"/>
    <col min="14" max="14" width="7" style="4" customWidth="1"/>
    <col min="15" max="15" width="7.109375" style="4" customWidth="1"/>
    <col min="16" max="16" width="173.21875" style="4" customWidth="1"/>
    <col min="17" max="16384" width="8.88671875" style="4"/>
  </cols>
  <sheetData>
    <row r="1" spans="1:15" ht="9.6" customHeight="1" thickBot="1" x14ac:dyDescent="0.35">
      <c r="A1" s="77">
        <v>1</v>
      </c>
    </row>
    <row r="2" spans="1:15" ht="15" thickBot="1" x14ac:dyDescent="0.35">
      <c r="B2" s="66" t="s">
        <v>38</v>
      </c>
      <c r="C2" s="66" t="s">
        <v>34</v>
      </c>
      <c r="D2" s="66" t="s">
        <v>13</v>
      </c>
      <c r="E2" s="66" t="s">
        <v>35</v>
      </c>
      <c r="F2" s="66" t="s">
        <v>36</v>
      </c>
      <c r="G2" s="66" t="s">
        <v>37</v>
      </c>
      <c r="H2" s="62"/>
      <c r="I2" s="62"/>
      <c r="J2" s="62"/>
      <c r="K2" s="63"/>
      <c r="L2" s="63"/>
      <c r="M2" s="63"/>
      <c r="N2" s="63"/>
      <c r="O2" s="63"/>
    </row>
    <row r="3" spans="1:15" ht="163.95" customHeight="1" x14ac:dyDescent="0.3">
      <c r="B3" s="117"/>
      <c r="C3" s="118" t="str">
        <f>_xlfn.CONCAT("#", ROW()-2)</f>
        <v>#1</v>
      </c>
      <c r="D3" s="119" t="s">
        <v>57</v>
      </c>
      <c r="E3" s="120" t="s">
        <v>58</v>
      </c>
      <c r="F3" s="120" t="s">
        <v>54</v>
      </c>
      <c r="G3" s="121" t="s">
        <v>55</v>
      </c>
      <c r="H3" s="77" t="s">
        <v>56</v>
      </c>
    </row>
  </sheetData>
  <autoFilter ref="B2:G2" xr:uid="{C447CC97-4030-45BB-9F75-6876C4E3165C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tnRemixLiquid1">
              <controlPr defaultSize="0" print="0" autoFill="0" autoPict="0" macro="[0]!LiquidHistorySheet.remixLiquid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2</xdr:row>
                    <xdr:rowOff>1036320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tnStartLiquid1">
              <controlPr defaultSize="0" print="0" autoFill="0" autoPict="0" macro="[0]!LiquidHistorySheet.startLiquidButtonClick">
                <anchor moveWithCells="1" sizeWithCells="1">
                  <from>
                    <xdr:col>1</xdr:col>
                    <xdr:colOff>0</xdr:colOff>
                    <xdr:row>2</xdr:row>
                    <xdr:rowOff>1036320</xdr:rowOff>
                  </from>
                  <to>
                    <xdr:col>1</xdr:col>
                    <xdr:colOff>1127760</xdr:colOff>
                    <xdr:row>2</xdr:row>
                    <xdr:rowOff>1554480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tnFinishLiquid1">
              <controlPr defaultSize="0" print="0" autoFill="0" autoPict="0" macro="[0]!LiquidHistorySheet.finishLiquidButtonClick">
                <anchor moveWithCells="1" sizeWithCells="1">
                  <from>
                    <xdr:col>1</xdr:col>
                    <xdr:colOff>1127760</xdr:colOff>
                    <xdr:row>2</xdr:row>
                    <xdr:rowOff>1036320</xdr:rowOff>
                  </from>
                  <to>
                    <xdr:col>1</xdr:col>
                    <xdr:colOff>2255520</xdr:colOff>
                    <xdr:row>2</xdr:row>
                    <xdr:rowOff>1554480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tnSeeLiquidStats1">
              <controlPr defaultSize="0" print="0" autoFill="0" autoPict="0" macro="[0]!LiquidHistorySheet.seeLiquidStats">
                <anchor moveWithCells="1" sizeWithCells="1">
                  <from>
                    <xdr:col>1</xdr:col>
                    <xdr:colOff>2255520</xdr:colOff>
                    <xdr:row>2</xdr:row>
                    <xdr:rowOff>1036320</xdr:rowOff>
                  </from>
                  <to>
                    <xdr:col>2</xdr:col>
                    <xdr:colOff>0</xdr:colOff>
                    <xdr:row>2</xdr:row>
                    <xdr:rowOff>1554480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tnDeleteLiquid1">
              <controlPr defaultSize="0" print="0" autoFill="0" autoPict="0" macro="[0]!LiquidHistorySheet.deleteLiquid">
                <anchor moveWithCells="1" sizeWithCells="1">
                  <from>
                    <xdr:col>1</xdr:col>
                    <xdr:colOff>0</xdr:colOff>
                    <xdr:row>2</xdr:row>
                    <xdr:rowOff>1554480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CBCFC-71A2-4714-BE18-6A380354794A}">
  <sheetPr codeName="FlavorsSheet">
    <tabColor theme="5" tint="0.39997558519241921"/>
  </sheetPr>
  <dimension ref="A1:H3"/>
  <sheetViews>
    <sheetView showGridLines="0" topLeftCell="C1" workbookViewId="0">
      <selection activeCell="C4" sqref="C4"/>
    </sheetView>
  </sheetViews>
  <sheetFormatPr defaultRowHeight="14.4" x14ac:dyDescent="0.3"/>
  <cols>
    <col min="1" max="1" width="25" style="4" hidden="1" customWidth="1"/>
    <col min="2" max="2" width="12" style="4" hidden="1" customWidth="1"/>
    <col min="3" max="3" width="33.5546875" style="4" customWidth="1"/>
    <col min="4" max="4" width="20.77734375" style="4" customWidth="1"/>
    <col min="5" max="5" width="10.88671875" style="4" customWidth="1"/>
    <col min="6" max="6" width="10.5546875" style="4" customWidth="1"/>
    <col min="7" max="7" width="10.88671875" style="4" customWidth="1"/>
    <col min="8" max="8" width="25" style="4" bestFit="1" customWidth="1"/>
    <col min="9" max="16384" width="8.88671875" style="4"/>
  </cols>
  <sheetData>
    <row r="1" spans="1:8" ht="25.2" customHeight="1" x14ac:dyDescent="0.3">
      <c r="A1" s="74" t="str">
        <f>C1 &amp; " &amp; " &amp;D1</f>
        <v>Flavor name &amp; Company</v>
      </c>
      <c r="B1" s="74" t="s">
        <v>25</v>
      </c>
      <c r="C1" s="74" t="s">
        <v>22</v>
      </c>
      <c r="D1" s="74" t="s">
        <v>23</v>
      </c>
      <c r="E1" s="74" t="s">
        <v>24</v>
      </c>
      <c r="F1" s="74" t="s">
        <v>10</v>
      </c>
      <c r="H1" s="67">
        <v>2</v>
      </c>
    </row>
    <row r="2" spans="1:8" x14ac:dyDescent="0.3">
      <c r="A2" s="99" t="str">
        <f>_xlfn.CONCAT(C2," - ",D2)</f>
        <v>NY Cheesecake - CAP</v>
      </c>
      <c r="B2" s="99">
        <f>F2/E2</f>
        <v>1.5</v>
      </c>
      <c r="C2" s="99" t="s">
        <v>43</v>
      </c>
      <c r="D2" s="99" t="s">
        <v>44</v>
      </c>
      <c r="E2" s="99">
        <v>10</v>
      </c>
      <c r="F2" s="99">
        <v>15</v>
      </c>
    </row>
    <row r="3" spans="1:8" x14ac:dyDescent="0.3">
      <c r="A3" s="99" t="str">
        <f>_xlfn.CONCAT(C3," - ",D3)</f>
        <v>Super Sweet - CAP</v>
      </c>
      <c r="B3" s="99">
        <f>F3/E3</f>
        <v>0.9</v>
      </c>
      <c r="C3" s="99" t="s">
        <v>45</v>
      </c>
      <c r="D3" s="99" t="s">
        <v>44</v>
      </c>
      <c r="E3" s="99">
        <v>10</v>
      </c>
      <c r="F3" s="99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27" r:id="rId4" name="BtnAddFlavorDbRow">
              <controlPr defaultSize="0" print="0" autoFill="0" autoPict="0" macro="[0]!FlavorsSheet.addFlavo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373380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5" name="BtnDelFlvDb1">
              <controlPr defaultSize="0" print="0" autoFill="0" autoPict="0" macro="[0]!FlavorsSheet.deleteFlavor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6</xdr:col>
                    <xdr:colOff>373380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6" name="BtnDelFlvDb2">
              <controlPr defaultSize="0" print="0" autoFill="0" autoPict="0" macro="[0]!FlavorsSheet.deleteFlavor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373380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Liquid Calculator</vt:lpstr>
      <vt:lpstr>Ingredients Info</vt:lpstr>
      <vt:lpstr>Liquid history</vt:lpstr>
      <vt:lpstr>Flavors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Gabriel Rotaru</cp:lastModifiedBy>
  <dcterms:created xsi:type="dcterms:W3CDTF">2023-03-04T06:24:05Z</dcterms:created>
  <dcterms:modified xsi:type="dcterms:W3CDTF">2024-01-07T20:01:03Z</dcterms:modified>
</cp:coreProperties>
</file>